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ominio" sheetId="1" r:id="rId4"/>
    <sheet state="visible" name="Edvaldo" sheetId="2" r:id="rId5"/>
    <sheet state="visible" name="Carlos" sheetId="3" r:id="rId6"/>
    <sheet state="visible" name="Vinicius" sheetId="4" r:id="rId7"/>
    <sheet state="visible" name="Joao" sheetId="5" r:id="rId8"/>
    <sheet state="visible" name="Mariana" sheetId="6" r:id="rId9"/>
    <sheet state="visible" name="Samyr" sheetId="7" r:id="rId10"/>
  </sheets>
  <definedNames/>
  <calcPr/>
</workbook>
</file>

<file path=xl/sharedStrings.xml><?xml version="1.0" encoding="utf-8"?>
<sst xmlns="http://schemas.openxmlformats.org/spreadsheetml/2006/main" count="248" uniqueCount="64">
  <si>
    <t>Equipamento</t>
  </si>
  <si>
    <t>Quantidade</t>
  </si>
  <si>
    <t>Valor Unitario</t>
  </si>
  <si>
    <t>Valot Total</t>
  </si>
  <si>
    <t>ATA</t>
  </si>
  <si>
    <t>Valor Geral Condominio</t>
  </si>
  <si>
    <t>Rack 16 U</t>
  </si>
  <si>
    <t>10830301000104-1-000024/2025-000007</t>
  </si>
  <si>
    <t>Gateway</t>
  </si>
  <si>
    <t>09341233000122-1-000125/2025-000001</t>
  </si>
  <si>
    <t>Switch L2 48 Portas</t>
  </si>
  <si>
    <t>18657063000180-1-000030/2024</t>
  </si>
  <si>
    <t>Servidor Virtualizacao</t>
  </si>
  <si>
    <t>00508903000188-1-001321/2025</t>
  </si>
  <si>
    <t>Servidor NAS</t>
  </si>
  <si>
    <t>76206465000165-1-000046/2025-000002</t>
  </si>
  <si>
    <t>Distribuidor Interno</t>
  </si>
  <si>
    <t>01786078000146-1-000013/2025-000001</t>
  </si>
  <si>
    <t xml:space="preserve">Workstation </t>
  </si>
  <si>
    <t>63025530000104-1-004720/2025-000001</t>
  </si>
  <si>
    <t>Mini Rack 16U</t>
  </si>
  <si>
    <t>Firewall</t>
  </si>
  <si>
    <t>00508903000188-1-003125/2024-000001</t>
  </si>
  <si>
    <t>Ar-Condicionado</t>
  </si>
  <si>
    <t>34023077000107-1-000101/2025-000004</t>
  </si>
  <si>
    <t>Switch POE 24</t>
  </si>
  <si>
    <t>00394452000103-1-011715/2025-000002</t>
  </si>
  <si>
    <t>Mini Rack 12U</t>
  </si>
  <si>
    <t>Nobreak 1200Va</t>
  </si>
  <si>
    <t>00348003000110-1-000499/2025-000001</t>
  </si>
  <si>
    <t>Roteador Wirelless</t>
  </si>
  <si>
    <t xml:space="preserve"> 29172467000109-1-000344/2025-000003</t>
  </si>
  <si>
    <t xml:space="preserve">Notebook
</t>
  </si>
  <si>
    <t>13075981000188-1-000016/2024-000002</t>
  </si>
  <si>
    <t>Cabeamento Cat6</t>
  </si>
  <si>
    <t>95684478000194-1-000121/2025-000006</t>
  </si>
  <si>
    <t>Cabo Fibra Óptica</t>
  </si>
  <si>
    <t>00394452000103-1-018542/2025-000006</t>
  </si>
  <si>
    <t>Cadeira</t>
  </si>
  <si>
    <t>62655246000159-1-000068/2025-000001</t>
  </si>
  <si>
    <t>Mesa</t>
  </si>
  <si>
    <t>02030715000112-1-000211/2025-000001</t>
  </si>
  <si>
    <t>Projetor</t>
  </si>
  <si>
    <t>07272636000131-1-000197/2025-000001</t>
  </si>
  <si>
    <t>Computador All in One</t>
  </si>
  <si>
    <t>00509018000113-1-003461/2025-000006</t>
  </si>
  <si>
    <t>Bateria Nobreak</t>
  </si>
  <si>
    <t>76247378000156-1-000195/2025-000005</t>
  </si>
  <si>
    <t>Mouse Pad</t>
  </si>
  <si>
    <t>92406180000124-1-000138/2025</t>
  </si>
  <si>
    <t>Laboratorio 1 Edvaldo</t>
  </si>
  <si>
    <t>Valor Geral Lab 1</t>
  </si>
  <si>
    <t>Cabo Cat 6</t>
  </si>
  <si>
    <t>Laboratorio 2 Carlos</t>
  </si>
  <si>
    <t>ValorTotal</t>
  </si>
  <si>
    <t>Valor Geral Lab 2</t>
  </si>
  <si>
    <t>Laboratorio 5 Vinicius</t>
  </si>
  <si>
    <t>Valor Geral Lab 5</t>
  </si>
  <si>
    <t>Laboratorio 6 João</t>
  </si>
  <si>
    <t>Valor Geral Lab 6</t>
  </si>
  <si>
    <t>Laboratorio 4 Mariana</t>
  </si>
  <si>
    <t>Valor Geral Lab 4</t>
  </si>
  <si>
    <t>Laboratorio 3 Samyr</t>
  </si>
  <si>
    <t>Valor Geral Lab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</si>
</sst>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1" numFmtId="4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3" fontId="2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5" max="5" width="31.88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>
        <v>2.0</v>
      </c>
      <c r="C2" s="3">
        <v>985.85</v>
      </c>
      <c r="D2" s="4">
        <f t="shared" ref="D2:D24" si="1">PRODUCT(B2, C2)</f>
        <v>1971.7</v>
      </c>
      <c r="E2" s="3" t="s">
        <v>7</v>
      </c>
      <c r="F2" s="4">
        <f>SUM(D2:D499)</f>
        <v>552554.82</v>
      </c>
    </row>
    <row r="3">
      <c r="A3" s="3" t="s">
        <v>8</v>
      </c>
      <c r="B3" s="3">
        <v>1.0</v>
      </c>
      <c r="C3" s="3">
        <v>41300.0</v>
      </c>
      <c r="D3" s="4">
        <f t="shared" si="1"/>
        <v>41300</v>
      </c>
      <c r="E3" s="3" t="s">
        <v>9</v>
      </c>
    </row>
    <row r="4">
      <c r="A4" s="3" t="s">
        <v>10</v>
      </c>
      <c r="B4" s="3">
        <v>1.0</v>
      </c>
      <c r="C4" s="5">
        <v>6560.83</v>
      </c>
      <c r="D4" s="4">
        <f t="shared" si="1"/>
        <v>6560.83</v>
      </c>
      <c r="E4" s="3" t="s">
        <v>11</v>
      </c>
    </row>
    <row r="5">
      <c r="A5" s="3" t="s">
        <v>12</v>
      </c>
      <c r="B5" s="3">
        <v>2.0</v>
      </c>
      <c r="C5" s="5">
        <v>65800.0</v>
      </c>
      <c r="D5" s="4">
        <f t="shared" si="1"/>
        <v>131600</v>
      </c>
      <c r="E5" s="3" t="s">
        <v>13</v>
      </c>
    </row>
    <row r="6">
      <c r="A6" s="3" t="s">
        <v>14</v>
      </c>
      <c r="B6" s="3">
        <v>1.0</v>
      </c>
      <c r="C6" s="5">
        <v>4360.0</v>
      </c>
      <c r="D6" s="4">
        <f t="shared" si="1"/>
        <v>4360</v>
      </c>
      <c r="E6" s="3" t="s">
        <v>15</v>
      </c>
    </row>
    <row r="7">
      <c r="A7" s="3" t="s">
        <v>16</v>
      </c>
      <c r="B7" s="3">
        <v>1.0</v>
      </c>
      <c r="C7" s="3">
        <v>2499.0</v>
      </c>
      <c r="D7" s="4">
        <f t="shared" si="1"/>
        <v>2499</v>
      </c>
      <c r="E7" s="3" t="s">
        <v>17</v>
      </c>
    </row>
    <row r="8">
      <c r="A8" s="3" t="s">
        <v>18</v>
      </c>
      <c r="B8" s="3">
        <v>3.0</v>
      </c>
      <c r="C8" s="3">
        <v>11680.0</v>
      </c>
      <c r="D8" s="4">
        <f t="shared" si="1"/>
        <v>35040</v>
      </c>
      <c r="E8" s="3" t="s">
        <v>19</v>
      </c>
    </row>
    <row r="9">
      <c r="A9" s="6" t="s">
        <v>20</v>
      </c>
      <c r="B9" s="6">
        <v>2.0</v>
      </c>
      <c r="C9" s="6">
        <v>985.85</v>
      </c>
      <c r="D9" s="7">
        <f t="shared" si="1"/>
        <v>1971.7</v>
      </c>
      <c r="E9" s="6" t="s">
        <v>7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21</v>
      </c>
      <c r="B10" s="3">
        <v>1.0</v>
      </c>
      <c r="C10" s="3">
        <v>25754.83</v>
      </c>
      <c r="D10" s="4">
        <f t="shared" si="1"/>
        <v>25754.83</v>
      </c>
      <c r="E10" s="3" t="s">
        <v>22</v>
      </c>
    </row>
    <row r="11">
      <c r="A11" s="8" t="s">
        <v>23</v>
      </c>
      <c r="B11" s="8">
        <v>8.0</v>
      </c>
      <c r="C11" s="8">
        <v>2499.0</v>
      </c>
      <c r="D11" s="9">
        <f t="shared" si="1"/>
        <v>19992</v>
      </c>
      <c r="E11" s="8" t="s">
        <v>24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25</v>
      </c>
      <c r="B12" s="8">
        <v>6.0</v>
      </c>
      <c r="C12" s="8">
        <v>3689.0</v>
      </c>
      <c r="D12" s="9">
        <f t="shared" si="1"/>
        <v>22134</v>
      </c>
      <c r="E12" s="8" t="s">
        <v>26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27</v>
      </c>
      <c r="B13" s="8">
        <v>7.0</v>
      </c>
      <c r="C13" s="8">
        <v>945.06</v>
      </c>
      <c r="D13" s="9">
        <f t="shared" si="1"/>
        <v>6615.42</v>
      </c>
      <c r="E13" s="8" t="s">
        <v>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28</v>
      </c>
      <c r="B14" s="8">
        <v>12.0</v>
      </c>
      <c r="C14" s="8">
        <v>750.0</v>
      </c>
      <c r="D14" s="9">
        <f t="shared" si="1"/>
        <v>9000</v>
      </c>
      <c r="E14" s="8" t="s">
        <v>29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8" t="s">
        <v>30</v>
      </c>
      <c r="B15" s="8">
        <v>6.0</v>
      </c>
      <c r="C15" s="8">
        <v>258.99</v>
      </c>
      <c r="D15" s="9">
        <f t="shared" si="1"/>
        <v>1553.94</v>
      </c>
      <c r="E15" s="8" t="s">
        <v>31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32</v>
      </c>
      <c r="B16" s="8">
        <v>10.0</v>
      </c>
      <c r="C16" s="10">
        <v>3496.0</v>
      </c>
      <c r="D16" s="9">
        <f t="shared" si="1"/>
        <v>34960</v>
      </c>
      <c r="E16" s="8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 t="s">
        <v>34</v>
      </c>
      <c r="B17" s="8">
        <v>2.0</v>
      </c>
      <c r="C17" s="8">
        <v>509.0</v>
      </c>
      <c r="D17" s="9">
        <f t="shared" si="1"/>
        <v>1018</v>
      </c>
      <c r="E17" s="8" t="s">
        <v>35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 t="s">
        <v>36</v>
      </c>
      <c r="B18" s="8">
        <v>67.0</v>
      </c>
      <c r="C18" s="8">
        <v>14.0</v>
      </c>
      <c r="D18" s="9">
        <f t="shared" si="1"/>
        <v>938</v>
      </c>
      <c r="E18" s="8" t="s">
        <v>37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 t="s">
        <v>38</v>
      </c>
      <c r="B19" s="8">
        <v>30.0</v>
      </c>
      <c r="C19" s="8">
        <v>650.0</v>
      </c>
      <c r="D19" s="9">
        <f t="shared" si="1"/>
        <v>19500</v>
      </c>
      <c r="E19" s="8" t="s">
        <v>39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8" t="s">
        <v>40</v>
      </c>
      <c r="B20" s="8">
        <v>30.0</v>
      </c>
      <c r="C20" s="8">
        <v>935.0</v>
      </c>
      <c r="D20" s="9">
        <f t="shared" si="1"/>
        <v>28050</v>
      </c>
      <c r="E20" s="8" t="s">
        <v>41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42</v>
      </c>
      <c r="B21" s="8">
        <v>6.0</v>
      </c>
      <c r="C21" s="8">
        <v>2786.0</v>
      </c>
      <c r="D21" s="9">
        <f t="shared" si="1"/>
        <v>16716</v>
      </c>
      <c r="E21" s="8" t="s">
        <v>43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 t="s">
        <v>44</v>
      </c>
      <c r="B22" s="8">
        <v>20.0</v>
      </c>
      <c r="C22" s="8">
        <v>6995.0</v>
      </c>
      <c r="D22" s="9">
        <f t="shared" si="1"/>
        <v>139900</v>
      </c>
      <c r="E22" s="8" t="s">
        <v>45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 t="s">
        <v>46</v>
      </c>
      <c r="B23" s="8">
        <v>12.0</v>
      </c>
      <c r="C23" s="8">
        <v>70.0</v>
      </c>
      <c r="D23" s="9">
        <f t="shared" si="1"/>
        <v>840</v>
      </c>
      <c r="E23" s="8" t="s">
        <v>47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 t="s">
        <v>48</v>
      </c>
      <c r="B24" s="11">
        <v>20.0</v>
      </c>
      <c r="C24" s="11">
        <v>13.97</v>
      </c>
      <c r="D24" s="12">
        <f t="shared" si="1"/>
        <v>279.4</v>
      </c>
      <c r="E24" s="11" t="s">
        <v>49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6"/>
      <c r="B25" s="6"/>
      <c r="C25" s="6"/>
      <c r="D25" s="7"/>
      <c r="E25" s="6"/>
    </row>
    <row r="26">
      <c r="A26" s="6"/>
      <c r="B26" s="6"/>
      <c r="C26" s="6"/>
      <c r="D26" s="7"/>
      <c r="E26" s="6"/>
    </row>
    <row r="27">
      <c r="A27" s="6"/>
      <c r="B27" s="6"/>
      <c r="C27" s="6"/>
      <c r="D27" s="7"/>
      <c r="E27" s="6"/>
    </row>
    <row r="28">
      <c r="A28" s="6"/>
      <c r="B28" s="6"/>
      <c r="C28" s="6"/>
      <c r="D28" s="7"/>
      <c r="E28" s="6"/>
    </row>
    <row r="29">
      <c r="A29" s="6"/>
      <c r="B29" s="6"/>
      <c r="C29" s="6"/>
      <c r="D29" s="7"/>
      <c r="E29" s="6"/>
    </row>
    <row r="30">
      <c r="A30" s="6"/>
      <c r="B30" s="6"/>
      <c r="C30" s="6"/>
      <c r="D30" s="7"/>
      <c r="E30" s="6"/>
    </row>
    <row r="31">
      <c r="A31" s="6"/>
      <c r="B31" s="6"/>
      <c r="C31" s="6"/>
      <c r="D31" s="7"/>
      <c r="E31" s="6"/>
    </row>
    <row r="32">
      <c r="A32" s="6"/>
      <c r="B32" s="6"/>
      <c r="C32" s="6"/>
      <c r="D32" s="7"/>
      <c r="E32" s="6"/>
    </row>
    <row r="33">
      <c r="A33" s="6"/>
      <c r="B33" s="6"/>
      <c r="C33" s="6"/>
      <c r="D33" s="7"/>
      <c r="E33" s="6"/>
    </row>
    <row r="34">
      <c r="A34" s="6"/>
      <c r="B34" s="6"/>
      <c r="C34" s="6"/>
      <c r="D34" s="7"/>
      <c r="E34" s="6"/>
    </row>
    <row r="35">
      <c r="A35" s="13"/>
      <c r="B35" s="13"/>
      <c r="C35" s="13"/>
      <c r="D35" s="14"/>
      <c r="E35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5" max="5" width="32.38"/>
    <col customWidth="1" min="6" max="6" width="18.63"/>
  </cols>
  <sheetData>
    <row r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23</v>
      </c>
      <c r="B3" s="8">
        <v>1.0</v>
      </c>
      <c r="C3" s="8">
        <v>2499.0</v>
      </c>
      <c r="D3" s="9">
        <f t="shared" ref="D3:D15" si="1">PRODUCT(B3, C3)</f>
        <v>2499</v>
      </c>
      <c r="E3" s="8" t="s">
        <v>24</v>
      </c>
      <c r="F3" s="9">
        <f>SUM(D3:D15)</f>
        <v>47039.43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25</v>
      </c>
      <c r="B4" s="8">
        <v>1.0</v>
      </c>
      <c r="C4" s="8">
        <v>3689.0</v>
      </c>
      <c r="D4" s="9">
        <f t="shared" si="1"/>
        <v>3689</v>
      </c>
      <c r="E4" s="8" t="s">
        <v>26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27</v>
      </c>
      <c r="B5" s="8">
        <v>1.0</v>
      </c>
      <c r="C5" s="8">
        <v>945.06</v>
      </c>
      <c r="D5" s="9">
        <f t="shared" si="1"/>
        <v>945.06</v>
      </c>
      <c r="E5" s="8" t="s">
        <v>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28</v>
      </c>
      <c r="B6" s="8">
        <v>1.0</v>
      </c>
      <c r="C6" s="8">
        <v>750.0</v>
      </c>
      <c r="D6" s="9">
        <f t="shared" si="1"/>
        <v>750</v>
      </c>
      <c r="E6" s="8" t="s">
        <v>29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30</v>
      </c>
      <c r="B7" s="8">
        <v>1.0</v>
      </c>
      <c r="C7" s="8">
        <v>258.99</v>
      </c>
      <c r="D7" s="9">
        <f t="shared" si="1"/>
        <v>258.99</v>
      </c>
      <c r="E7" s="8" t="s">
        <v>31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32</v>
      </c>
      <c r="B8" s="8">
        <v>2.0</v>
      </c>
      <c r="C8" s="8">
        <v>3496.0</v>
      </c>
      <c r="D8" s="9">
        <f t="shared" si="1"/>
        <v>6992</v>
      </c>
      <c r="E8" s="8" t="s">
        <v>33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38</v>
      </c>
      <c r="B9" s="8">
        <v>5.0</v>
      </c>
      <c r="C9" s="8">
        <v>650.0</v>
      </c>
      <c r="D9" s="9">
        <f t="shared" si="1"/>
        <v>3250</v>
      </c>
      <c r="E9" s="8" t="s">
        <v>39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40</v>
      </c>
      <c r="B10" s="8">
        <v>5.0</v>
      </c>
      <c r="C10" s="8">
        <v>935.0</v>
      </c>
      <c r="D10" s="9">
        <f t="shared" si="1"/>
        <v>4675</v>
      </c>
      <c r="E10" s="8" t="s">
        <v>41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42</v>
      </c>
      <c r="B11" s="8">
        <v>1.0</v>
      </c>
      <c r="C11" s="8">
        <v>2786.0</v>
      </c>
      <c r="D11" s="9">
        <f t="shared" si="1"/>
        <v>2786</v>
      </c>
      <c r="E11" s="8" t="s">
        <v>43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44</v>
      </c>
      <c r="B12" s="8">
        <v>3.0</v>
      </c>
      <c r="C12" s="8">
        <v>6995.0</v>
      </c>
      <c r="D12" s="9">
        <f t="shared" si="1"/>
        <v>20985</v>
      </c>
      <c r="E12" s="8" t="s">
        <v>45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46</v>
      </c>
      <c r="B13" s="8">
        <v>1.0</v>
      </c>
      <c r="C13" s="8">
        <v>70.0</v>
      </c>
      <c r="D13" s="9">
        <f t="shared" si="1"/>
        <v>70</v>
      </c>
      <c r="E13" s="8" t="s">
        <v>47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48</v>
      </c>
      <c r="B14" s="11">
        <v>4.0</v>
      </c>
      <c r="C14" s="11">
        <v>13.97</v>
      </c>
      <c r="D14" s="12">
        <f t="shared" si="1"/>
        <v>55.88</v>
      </c>
      <c r="E14" s="11" t="s">
        <v>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52</v>
      </c>
      <c r="B15" s="11">
        <v>50.0</v>
      </c>
      <c r="C15" s="11">
        <v>1.67</v>
      </c>
      <c r="D15" s="12">
        <f t="shared" si="1"/>
        <v>83.5</v>
      </c>
      <c r="E15" s="11" t="s">
        <v>35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38"/>
    <col customWidth="1" min="6" max="6" width="18.63"/>
  </cols>
  <sheetData>
    <row r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54</v>
      </c>
      <c r="E2" s="1" t="s">
        <v>4</v>
      </c>
      <c r="F2" s="1" t="s">
        <v>55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23</v>
      </c>
      <c r="B3" s="8">
        <v>1.0</v>
      </c>
      <c r="C3" s="8">
        <v>2499.0</v>
      </c>
      <c r="D3" s="9">
        <f t="shared" ref="D3:D15" si="1">PRODUCT(B3, C3)</f>
        <v>2499</v>
      </c>
      <c r="E3" s="8" t="s">
        <v>24</v>
      </c>
      <c r="F3" s="9">
        <f>SUM(D3:D15)</f>
        <v>47039.43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25</v>
      </c>
      <c r="B4" s="8">
        <v>1.0</v>
      </c>
      <c r="C4" s="8">
        <v>3689.0</v>
      </c>
      <c r="D4" s="9">
        <f t="shared" si="1"/>
        <v>3689</v>
      </c>
      <c r="E4" s="8" t="s">
        <v>26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27</v>
      </c>
      <c r="B5" s="8">
        <v>1.0</v>
      </c>
      <c r="C5" s="8">
        <v>945.06</v>
      </c>
      <c r="D5" s="9">
        <f t="shared" si="1"/>
        <v>945.06</v>
      </c>
      <c r="E5" s="8" t="s">
        <v>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28</v>
      </c>
      <c r="B6" s="8">
        <v>1.0</v>
      </c>
      <c r="C6" s="8">
        <v>750.0</v>
      </c>
      <c r="D6" s="9">
        <f t="shared" si="1"/>
        <v>750</v>
      </c>
      <c r="E6" s="8" t="s">
        <v>29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32</v>
      </c>
      <c r="B7" s="8">
        <v>2.0</v>
      </c>
      <c r="C7" s="8">
        <v>3496.0</v>
      </c>
      <c r="D7" s="9">
        <f t="shared" si="1"/>
        <v>6992</v>
      </c>
      <c r="E7" s="8" t="s">
        <v>33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38</v>
      </c>
      <c r="B8" s="8">
        <v>5.0</v>
      </c>
      <c r="C8" s="8">
        <v>650.0</v>
      </c>
      <c r="D8" s="9">
        <f t="shared" si="1"/>
        <v>3250</v>
      </c>
      <c r="E8" s="8" t="s">
        <v>39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40</v>
      </c>
      <c r="B9" s="8">
        <v>5.0</v>
      </c>
      <c r="C9" s="8">
        <v>935.0</v>
      </c>
      <c r="D9" s="9">
        <f t="shared" si="1"/>
        <v>4675</v>
      </c>
      <c r="E9" s="8" t="s">
        <v>41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42</v>
      </c>
      <c r="B10" s="8">
        <v>1.0</v>
      </c>
      <c r="C10" s="8">
        <v>2786.0</v>
      </c>
      <c r="D10" s="9">
        <f t="shared" si="1"/>
        <v>2786</v>
      </c>
      <c r="E10" s="8" t="s">
        <v>43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44</v>
      </c>
      <c r="B11" s="8">
        <v>3.0</v>
      </c>
      <c r="C11" s="8">
        <v>6995.0</v>
      </c>
      <c r="D11" s="9">
        <f t="shared" si="1"/>
        <v>20985</v>
      </c>
      <c r="E11" s="8" t="s">
        <v>45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46</v>
      </c>
      <c r="B12" s="8">
        <v>1.0</v>
      </c>
      <c r="C12" s="8">
        <v>70.0</v>
      </c>
      <c r="D12" s="9">
        <f t="shared" si="1"/>
        <v>70</v>
      </c>
      <c r="E12" s="8" t="s">
        <v>47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52</v>
      </c>
      <c r="B13" s="11">
        <v>50.0</v>
      </c>
      <c r="C13" s="11">
        <v>1.67</v>
      </c>
      <c r="D13" s="12">
        <f t="shared" si="1"/>
        <v>83.5</v>
      </c>
      <c r="E13" s="11" t="s">
        <v>35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 t="s">
        <v>48</v>
      </c>
      <c r="B14" s="11">
        <v>4.0</v>
      </c>
      <c r="C14" s="11">
        <v>13.97</v>
      </c>
      <c r="D14" s="12">
        <f t="shared" si="1"/>
        <v>55.88</v>
      </c>
      <c r="E14" s="11" t="s">
        <v>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8" t="s">
        <v>30</v>
      </c>
      <c r="B15" s="8">
        <v>1.0</v>
      </c>
      <c r="C15" s="8">
        <v>258.99</v>
      </c>
      <c r="D15" s="9">
        <f t="shared" si="1"/>
        <v>258.99</v>
      </c>
      <c r="E15" s="8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38"/>
    <col customWidth="1" min="6" max="6" width="18.63"/>
  </cols>
  <sheetData>
    <row r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23</v>
      </c>
      <c r="B3" s="8">
        <v>1.0</v>
      </c>
      <c r="C3" s="8">
        <v>2499.0</v>
      </c>
      <c r="D3" s="9">
        <f t="shared" ref="D3:D15" si="1">PRODUCT(B3, C3)</f>
        <v>2499</v>
      </c>
      <c r="E3" s="8" t="s">
        <v>24</v>
      </c>
      <c r="F3" s="9">
        <f>SUM(D3:D15)</f>
        <v>47039.43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25</v>
      </c>
      <c r="B4" s="8">
        <v>1.0</v>
      </c>
      <c r="C4" s="8">
        <v>3689.0</v>
      </c>
      <c r="D4" s="9">
        <f t="shared" si="1"/>
        <v>3689</v>
      </c>
      <c r="E4" s="8" t="s">
        <v>26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27</v>
      </c>
      <c r="B5" s="8">
        <v>1.0</v>
      </c>
      <c r="C5" s="8">
        <v>945.06</v>
      </c>
      <c r="D5" s="9">
        <f t="shared" si="1"/>
        <v>945.06</v>
      </c>
      <c r="E5" s="8" t="s">
        <v>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28</v>
      </c>
      <c r="B6" s="8">
        <v>1.0</v>
      </c>
      <c r="C6" s="8">
        <v>750.0</v>
      </c>
      <c r="D6" s="9">
        <f t="shared" si="1"/>
        <v>750</v>
      </c>
      <c r="E6" s="8" t="s">
        <v>29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30</v>
      </c>
      <c r="B7" s="8">
        <v>1.0</v>
      </c>
      <c r="C7" s="8">
        <v>258.99</v>
      </c>
      <c r="D7" s="9">
        <f t="shared" si="1"/>
        <v>258.99</v>
      </c>
      <c r="E7" s="8" t="s">
        <v>31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32</v>
      </c>
      <c r="B8" s="8">
        <v>2.0</v>
      </c>
      <c r="C8" s="8">
        <v>3496.0</v>
      </c>
      <c r="D8" s="9">
        <f t="shared" si="1"/>
        <v>6992</v>
      </c>
      <c r="E8" s="8" t="s">
        <v>33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38</v>
      </c>
      <c r="B9" s="8">
        <v>5.0</v>
      </c>
      <c r="C9" s="8">
        <v>650.0</v>
      </c>
      <c r="D9" s="9">
        <f t="shared" si="1"/>
        <v>3250</v>
      </c>
      <c r="E9" s="8" t="s">
        <v>39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40</v>
      </c>
      <c r="B10" s="8">
        <v>5.0</v>
      </c>
      <c r="C10" s="8">
        <v>935.0</v>
      </c>
      <c r="D10" s="9">
        <f t="shared" si="1"/>
        <v>4675</v>
      </c>
      <c r="E10" s="8" t="s">
        <v>41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42</v>
      </c>
      <c r="B11" s="8">
        <v>1.0</v>
      </c>
      <c r="C11" s="8">
        <v>2786.0</v>
      </c>
      <c r="D11" s="9">
        <f t="shared" si="1"/>
        <v>2786</v>
      </c>
      <c r="E11" s="8" t="s">
        <v>43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44</v>
      </c>
      <c r="B12" s="8">
        <v>3.0</v>
      </c>
      <c r="C12" s="8">
        <v>6995.0</v>
      </c>
      <c r="D12" s="9">
        <f t="shared" si="1"/>
        <v>20985</v>
      </c>
      <c r="E12" s="8" t="s">
        <v>45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46</v>
      </c>
      <c r="B13" s="8">
        <v>1.0</v>
      </c>
      <c r="C13" s="8">
        <v>70.0</v>
      </c>
      <c r="D13" s="9">
        <f t="shared" si="1"/>
        <v>70</v>
      </c>
      <c r="E13" s="8" t="s">
        <v>47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48</v>
      </c>
      <c r="B14" s="11">
        <v>4.0</v>
      </c>
      <c r="C14" s="11">
        <v>13.97</v>
      </c>
      <c r="D14" s="12">
        <f t="shared" si="1"/>
        <v>55.88</v>
      </c>
      <c r="E14" s="11" t="s">
        <v>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52</v>
      </c>
      <c r="B15" s="11">
        <v>50.0</v>
      </c>
      <c r="C15" s="11">
        <v>1.67</v>
      </c>
      <c r="D15" s="12">
        <f t="shared" si="1"/>
        <v>83.5</v>
      </c>
      <c r="E15" s="11" t="s">
        <v>35</v>
      </c>
      <c r="F15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38"/>
    <col customWidth="1" min="6" max="6" width="18.63"/>
  </cols>
  <sheetData>
    <row r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23</v>
      </c>
      <c r="B3" s="8">
        <v>1.0</v>
      </c>
      <c r="C3" s="8">
        <v>2499.0</v>
      </c>
      <c r="D3" s="9">
        <f t="shared" ref="D3:D15" si="1">PRODUCT(B3, C3)</f>
        <v>2499</v>
      </c>
      <c r="E3" s="8" t="s">
        <v>24</v>
      </c>
      <c r="F3" s="9">
        <f>SUM(D3:D15)</f>
        <v>47039.43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25</v>
      </c>
      <c r="B4" s="8">
        <v>1.0</v>
      </c>
      <c r="C4" s="8">
        <v>3689.0</v>
      </c>
      <c r="D4" s="9">
        <f t="shared" si="1"/>
        <v>3689</v>
      </c>
      <c r="E4" s="8" t="s">
        <v>26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27</v>
      </c>
      <c r="B5" s="8">
        <v>1.0</v>
      </c>
      <c r="C5" s="8">
        <v>945.06</v>
      </c>
      <c r="D5" s="9">
        <f t="shared" si="1"/>
        <v>945.06</v>
      </c>
      <c r="E5" s="8" t="s">
        <v>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28</v>
      </c>
      <c r="B6" s="8">
        <v>1.0</v>
      </c>
      <c r="C6" s="8">
        <v>750.0</v>
      </c>
      <c r="D6" s="9">
        <f t="shared" si="1"/>
        <v>750</v>
      </c>
      <c r="E6" s="8" t="s">
        <v>29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30</v>
      </c>
      <c r="B7" s="8">
        <v>1.0</v>
      </c>
      <c r="C7" s="8">
        <v>258.99</v>
      </c>
      <c r="D7" s="9">
        <f t="shared" si="1"/>
        <v>258.99</v>
      </c>
      <c r="E7" s="8" t="s">
        <v>31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32</v>
      </c>
      <c r="B8" s="8">
        <v>2.0</v>
      </c>
      <c r="C8" s="8">
        <v>3496.0</v>
      </c>
      <c r="D8" s="9">
        <f t="shared" si="1"/>
        <v>6992</v>
      </c>
      <c r="E8" s="8" t="s">
        <v>33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38</v>
      </c>
      <c r="B9" s="8">
        <v>5.0</v>
      </c>
      <c r="C9" s="8">
        <v>650.0</v>
      </c>
      <c r="D9" s="9">
        <f t="shared" si="1"/>
        <v>3250</v>
      </c>
      <c r="E9" s="8" t="s">
        <v>39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40</v>
      </c>
      <c r="B10" s="8">
        <v>5.0</v>
      </c>
      <c r="C10" s="8">
        <v>935.0</v>
      </c>
      <c r="D10" s="9">
        <f t="shared" si="1"/>
        <v>4675</v>
      </c>
      <c r="E10" s="8" t="s">
        <v>41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42</v>
      </c>
      <c r="B11" s="8">
        <v>1.0</v>
      </c>
      <c r="C11" s="8">
        <v>2786.0</v>
      </c>
      <c r="D11" s="9">
        <f t="shared" si="1"/>
        <v>2786</v>
      </c>
      <c r="E11" s="8" t="s">
        <v>43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44</v>
      </c>
      <c r="B12" s="8">
        <v>3.0</v>
      </c>
      <c r="C12" s="8">
        <v>6995.0</v>
      </c>
      <c r="D12" s="9">
        <f t="shared" si="1"/>
        <v>20985</v>
      </c>
      <c r="E12" s="8" t="s">
        <v>45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46</v>
      </c>
      <c r="B13" s="8">
        <v>1.0</v>
      </c>
      <c r="C13" s="8">
        <v>70.0</v>
      </c>
      <c r="D13" s="9">
        <f t="shared" si="1"/>
        <v>70</v>
      </c>
      <c r="E13" s="8" t="s">
        <v>47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48</v>
      </c>
      <c r="B14" s="11">
        <v>4.0</v>
      </c>
      <c r="C14" s="11">
        <v>13.97</v>
      </c>
      <c r="D14" s="12">
        <f t="shared" si="1"/>
        <v>55.88</v>
      </c>
      <c r="E14" s="11" t="s">
        <v>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1" t="s">
        <v>52</v>
      </c>
      <c r="B15" s="11">
        <v>50.0</v>
      </c>
      <c r="C15" s="11">
        <v>1.67</v>
      </c>
      <c r="D15" s="12">
        <f t="shared" si="1"/>
        <v>83.5</v>
      </c>
      <c r="E15" s="11" t="s">
        <v>35</v>
      </c>
      <c r="F15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38"/>
    <col customWidth="1" min="6" max="6" width="18.63"/>
  </cols>
  <sheetData>
    <row r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23</v>
      </c>
      <c r="B3" s="8">
        <v>1.0</v>
      </c>
      <c r="C3" s="8">
        <v>2499.0</v>
      </c>
      <c r="D3" s="9">
        <f t="shared" ref="D3:D14" si="1">PRODUCT(B3, C3)</f>
        <v>2499</v>
      </c>
      <c r="E3" s="8" t="s">
        <v>24</v>
      </c>
      <c r="F3" s="9">
        <f>SUM(D3:D14)</f>
        <v>47042.43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25</v>
      </c>
      <c r="B4" s="8">
        <v>1.0</v>
      </c>
      <c r="C4" s="8">
        <v>3689.0</v>
      </c>
      <c r="D4" s="9">
        <f t="shared" si="1"/>
        <v>3689</v>
      </c>
      <c r="E4" s="8" t="s">
        <v>26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27</v>
      </c>
      <c r="B5" s="8">
        <v>1.0</v>
      </c>
      <c r="C5" s="8">
        <v>945.06</v>
      </c>
      <c r="D5" s="9">
        <f t="shared" si="1"/>
        <v>945.06</v>
      </c>
      <c r="E5" s="8" t="s">
        <v>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28</v>
      </c>
      <c r="B6" s="8">
        <v>1.0</v>
      </c>
      <c r="C6" s="8">
        <v>750.0</v>
      </c>
      <c r="D6" s="9">
        <f t="shared" si="1"/>
        <v>750</v>
      </c>
      <c r="E6" s="8" t="s">
        <v>29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30</v>
      </c>
      <c r="B7" s="8">
        <v>1.0</v>
      </c>
      <c r="C7" s="8">
        <v>258.99</v>
      </c>
      <c r="D7" s="9">
        <f t="shared" si="1"/>
        <v>258.99</v>
      </c>
      <c r="E7" s="8" t="s">
        <v>31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38</v>
      </c>
      <c r="B8" s="8">
        <v>5.0</v>
      </c>
      <c r="C8" s="8">
        <v>650.0</v>
      </c>
      <c r="D8" s="9">
        <f t="shared" si="1"/>
        <v>3250</v>
      </c>
      <c r="E8" s="8" t="s">
        <v>39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40</v>
      </c>
      <c r="B9" s="8">
        <v>5.0</v>
      </c>
      <c r="C9" s="8">
        <v>935.0</v>
      </c>
      <c r="D9" s="9">
        <f t="shared" si="1"/>
        <v>4675</v>
      </c>
      <c r="E9" s="8" t="s">
        <v>41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42</v>
      </c>
      <c r="B10" s="8">
        <v>1.0</v>
      </c>
      <c r="C10" s="8">
        <v>2786.0</v>
      </c>
      <c r="D10" s="9">
        <f t="shared" si="1"/>
        <v>2786</v>
      </c>
      <c r="E10" s="8" t="s">
        <v>43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44</v>
      </c>
      <c r="B11" s="8">
        <v>4.0</v>
      </c>
      <c r="C11" s="8">
        <v>6995.0</v>
      </c>
      <c r="D11" s="9">
        <f t="shared" si="1"/>
        <v>27980</v>
      </c>
      <c r="E11" s="8" t="s">
        <v>45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46</v>
      </c>
      <c r="B12" s="8">
        <v>1.0</v>
      </c>
      <c r="C12" s="8">
        <v>70.0</v>
      </c>
      <c r="D12" s="9">
        <f t="shared" si="1"/>
        <v>70</v>
      </c>
      <c r="E12" s="8" t="s">
        <v>47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48</v>
      </c>
      <c r="B13" s="11">
        <v>4.0</v>
      </c>
      <c r="C13" s="11">
        <v>13.97</v>
      </c>
      <c r="D13" s="12">
        <f t="shared" si="1"/>
        <v>55.88</v>
      </c>
      <c r="E13" s="11" t="s">
        <v>49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1" t="s">
        <v>52</v>
      </c>
      <c r="B14" s="11">
        <v>50.0</v>
      </c>
      <c r="C14" s="11">
        <v>1.67</v>
      </c>
      <c r="D14" s="12">
        <f t="shared" si="1"/>
        <v>83.5</v>
      </c>
      <c r="E14" s="11" t="s">
        <v>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2.38"/>
    <col customWidth="1" min="6" max="6" width="18.63"/>
  </cols>
  <sheetData>
    <row r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23</v>
      </c>
      <c r="B3" s="8">
        <v>1.0</v>
      </c>
      <c r="C3" s="8">
        <v>2499.0</v>
      </c>
      <c r="D3" s="9">
        <f t="shared" ref="D3:D14" si="1">PRODUCT(B3, C3)</f>
        <v>2499</v>
      </c>
      <c r="E3" s="8" t="s">
        <v>24</v>
      </c>
      <c r="F3" s="8">
        <v>47039.43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25</v>
      </c>
      <c r="B4" s="8">
        <v>1.0</v>
      </c>
      <c r="C4" s="8">
        <v>3689.0</v>
      </c>
      <c r="D4" s="9">
        <f t="shared" si="1"/>
        <v>3689</v>
      </c>
      <c r="E4" s="8" t="s">
        <v>26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27</v>
      </c>
      <c r="B5" s="8">
        <v>1.0</v>
      </c>
      <c r="C5" s="8">
        <v>945.06</v>
      </c>
      <c r="D5" s="9">
        <f t="shared" si="1"/>
        <v>945.06</v>
      </c>
      <c r="E5" s="8" t="s">
        <v>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28</v>
      </c>
      <c r="B6" s="8">
        <v>1.0</v>
      </c>
      <c r="C6" s="8">
        <v>750.0</v>
      </c>
      <c r="D6" s="9">
        <f t="shared" si="1"/>
        <v>750</v>
      </c>
      <c r="E6" s="8" t="s">
        <v>29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30</v>
      </c>
      <c r="B7" s="8">
        <v>1.0</v>
      </c>
      <c r="C7" s="8">
        <v>258.99</v>
      </c>
      <c r="D7" s="9">
        <f t="shared" si="1"/>
        <v>258.99</v>
      </c>
      <c r="E7" s="8" t="s">
        <v>31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32</v>
      </c>
      <c r="B8" s="8">
        <v>2.0</v>
      </c>
      <c r="C8" s="8">
        <v>3496.0</v>
      </c>
      <c r="D8" s="9">
        <f t="shared" si="1"/>
        <v>6992</v>
      </c>
      <c r="E8" s="8" t="s">
        <v>33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38</v>
      </c>
      <c r="B9" s="8">
        <v>5.0</v>
      </c>
      <c r="C9" s="8">
        <v>650.0</v>
      </c>
      <c r="D9" s="9">
        <f t="shared" si="1"/>
        <v>3250</v>
      </c>
      <c r="E9" s="8" t="s">
        <v>39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40</v>
      </c>
      <c r="B10" s="8">
        <v>5.0</v>
      </c>
      <c r="C10" s="8">
        <v>935.0</v>
      </c>
      <c r="D10" s="9">
        <f t="shared" si="1"/>
        <v>4675</v>
      </c>
      <c r="E10" s="8" t="s">
        <v>41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42</v>
      </c>
      <c r="B11" s="8">
        <v>1.0</v>
      </c>
      <c r="C11" s="8">
        <v>2786.0</v>
      </c>
      <c r="D11" s="9">
        <f t="shared" si="1"/>
        <v>2786</v>
      </c>
      <c r="E11" s="8" t="s">
        <v>43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44</v>
      </c>
      <c r="B12" s="8">
        <v>3.0</v>
      </c>
      <c r="C12" s="8">
        <v>6995.0</v>
      </c>
      <c r="D12" s="9">
        <f t="shared" si="1"/>
        <v>20985</v>
      </c>
      <c r="E12" s="8" t="s">
        <v>45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46</v>
      </c>
      <c r="B13" s="8">
        <v>1.0</v>
      </c>
      <c r="C13" s="8">
        <v>70.0</v>
      </c>
      <c r="D13" s="9">
        <f t="shared" si="1"/>
        <v>70</v>
      </c>
      <c r="E13" s="8" t="s">
        <v>47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48</v>
      </c>
      <c r="B14" s="11">
        <v>4.0</v>
      </c>
      <c r="C14" s="11">
        <v>13.97</v>
      </c>
      <c r="D14" s="12">
        <f t="shared" si="1"/>
        <v>55.88</v>
      </c>
      <c r="E14" s="11" t="s">
        <v>49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8" t="s">
        <v>52</v>
      </c>
      <c r="B15" s="8">
        <v>50.0</v>
      </c>
      <c r="C15" s="8">
        <v>1.67</v>
      </c>
      <c r="D15" s="8">
        <v>83.5</v>
      </c>
      <c r="E15" s="8" t="s">
        <v>35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</sheetData>
  <drawing r:id="rId1"/>
</worksheet>
</file>